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onnees\IOT\WS_Platformio\Plat_Esp_Capteur_Temp\test\"/>
    </mc:Choice>
  </mc:AlternateContent>
  <xr:revisionPtr revIDLastSave="0" documentId="13_ncr:1_{D1B97E01-83E3-4708-8C45-C56850132AB3}" xr6:coauthVersionLast="36" xr6:coauthVersionMax="36" xr10:uidLastSave="{00000000-0000-0000-0000-000000000000}"/>
  <bookViews>
    <workbookView xWindow="0" yWindow="0" windowWidth="11520" windowHeight="7560" xr2:uid="{46624AEA-3C31-428C-B850-EE898F25EC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" i="1" l="1"/>
  <c r="I59" i="1"/>
  <c r="I47" i="1"/>
  <c r="E47" i="1"/>
  <c r="E59" i="1"/>
  <c r="E48" i="1"/>
  <c r="H48" i="1"/>
  <c r="D48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C47" i="1"/>
  <c r="B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47" i="1"/>
  <c r="B23" i="1"/>
  <c r="C23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C26" i="1"/>
  <c r="B2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26" i="1"/>
</calcChain>
</file>

<file path=xl/sharedStrings.xml><?xml version="1.0" encoding="utf-8"?>
<sst xmlns="http://schemas.openxmlformats.org/spreadsheetml/2006/main" count="145" uniqueCount="80">
  <si>
    <t>XHRGET</t>
  </si>
  <si>
    <t>http://192.168.251.51/status?type=0</t>
  </si>
  <si>
    <t>[HTTP/1.1 200 OK 100ms]</t>
  </si>
  <si>
    <t>version</t>
  </si>
  <si>
    <t>V1.1</t>
  </si>
  <si>
    <t>reset0</t>
  </si>
  <si>
    <t>reveil deep sleep</t>
  </si>
  <si>
    <t>heure_string</t>
  </si>
  <si>
    <t>uptime</t>
  </si>
  <si>
    <t>0 jours 0 heures 0 min</t>
  </si>
  <si>
    <t>nb_reset</t>
  </si>
  <si>
    <t>duree_reset</t>
  </si>
  <si>
    <t>codeR_secu</t>
  </si>
  <si>
    <t>coche_secu</t>
  </si>
  <si>
    <t>periode_cycle</t>
  </si>
  <si>
    <t>PPE</t>
  </si>
  <si>
    <t>Text</t>
  </si>
  <si>
    <t>10.0JS:10</t>
  </si>
  <si>
    <t>Tint</t>
  </si>
  <si>
    <t>18.1</t>
  </si>
  <si>
    <t>Humid</t>
  </si>
  <si>
    <t>68.4</t>
  </si>
  <si>
    <t>batSI</t>
  </si>
  <si>
    <t>batS</t>
  </si>
  <si>
    <t>4.26</t>
  </si>
  <si>
    <t>Hum_V</t>
  </si>
  <si>
    <t>TextV</t>
  </si>
  <si>
    <t>TintV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</si>
  <si>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</si>
  <si>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</si>
  <si>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</si>
  <si>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</si>
  <si>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</si>
  <si>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</si>
  <si>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</si>
  <si>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</si>
  <si>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</si>
  <si>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</si>
  <si>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</si>
  <si>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</si>
  <si>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</si>
  <si>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</si>
  <si>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</si>
  <si>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</si>
  <si>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</si>
  <si>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</si>
  <si>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</si>
  <si>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</si>
  <si>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</si>
  <si>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</si>
  <si>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</si>
  <si>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</si>
  <si>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</si>
  <si>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</si>
  <si>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</si>
  <si>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</si>
  <si>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</si>
  <si>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</si>
  <si>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</si>
  <si>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</si>
  <si>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</si>
  <si>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</si>
  <si>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</si>
  <si>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</si>
  <si>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</si>
  <si>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</si>
  <si>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</si>
  <si>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</si>
  <si>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http://192.168.251.40/status?type=0</t>
  </si>
  <si>
    <t>[HTTP/1.1 200 OK 112ms]</t>
  </si>
  <si>
    <t>18.2</t>
  </si>
  <si>
    <t>70.0JS:70</t>
  </si>
  <si>
    <t>3.96</t>
  </si>
  <si>
    <t>T30</t>
  </si>
  <si>
    <t>T40</t>
  </si>
  <si>
    <t>T50</t>
  </si>
  <si>
    <t>EXT</t>
  </si>
  <si>
    <t>STABLE</t>
  </si>
  <si>
    <t>STAB</t>
  </si>
  <si>
    <t>=(6.112×EXP((17,67*C38)/(C38+243,5))×C59/100*2.1674​)/(273,15+C38)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</si>
</sst>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1" applyFont="1"/>
    <xf numFmtId="0" fontId="0" fillId="0" borderId="0" xfId="0" quotePrefix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Feuil1!$A$26:$A$45</c:f>
              <c:strCache>
                <c:ptCount val="20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T010</c:v>
                </c:pt>
                <c:pt idx="11">
                  <c:v>T011</c:v>
                </c:pt>
                <c:pt idx="12">
                  <c:v>T012</c:v>
                </c:pt>
                <c:pt idx="13">
                  <c:v>T013</c:v>
                </c:pt>
                <c:pt idx="14">
                  <c:v>T014</c:v>
                </c:pt>
                <c:pt idx="15">
                  <c:v>T015</c:v>
                </c:pt>
                <c:pt idx="16">
                  <c:v>T016</c:v>
                </c:pt>
                <c:pt idx="17">
                  <c:v>T017</c:v>
                </c:pt>
                <c:pt idx="18">
                  <c:v>T018</c:v>
                </c:pt>
                <c:pt idx="19">
                  <c:v>T019</c:v>
                </c:pt>
              </c:strCache>
            </c:strRef>
          </c:cat>
          <c:val>
            <c:numRef>
              <c:f>Feuil1!$B$26:$B$45</c:f>
              <c:numCache>
                <c:formatCode>General</c:formatCode>
                <c:ptCount val="20"/>
                <c:pt idx="0">
                  <c:v>17.7</c:v>
                </c:pt>
                <c:pt idx="1">
                  <c:v>17.7</c:v>
                </c:pt>
                <c:pt idx="2">
                  <c:v>17.899999999999999</c:v>
                </c:pt>
                <c:pt idx="3">
                  <c:v>18</c:v>
                </c:pt>
                <c:pt idx="4">
                  <c:v>18.2</c:v>
                </c:pt>
                <c:pt idx="5">
                  <c:v>18.399999999999999</c:v>
                </c:pt>
                <c:pt idx="6">
                  <c:v>18.600000000000001</c:v>
                </c:pt>
                <c:pt idx="7">
                  <c:v>18.8</c:v>
                </c:pt>
                <c:pt idx="8">
                  <c:v>19</c:v>
                </c:pt>
                <c:pt idx="9">
                  <c:v>19.2</c:v>
                </c:pt>
                <c:pt idx="10">
                  <c:v>19.399999999999999</c:v>
                </c:pt>
                <c:pt idx="11">
                  <c:v>19.5</c:v>
                </c:pt>
                <c:pt idx="12">
                  <c:v>19.5</c:v>
                </c:pt>
                <c:pt idx="13">
                  <c:v>19.600000000000001</c:v>
                </c:pt>
                <c:pt idx="14">
                  <c:v>19.600000000000001</c:v>
                </c:pt>
                <c:pt idx="15">
                  <c:v>19.600000000000001</c:v>
                </c:pt>
                <c:pt idx="16">
                  <c:v>20</c:v>
                </c:pt>
                <c:pt idx="17">
                  <c:v>20.2</c:v>
                </c:pt>
                <c:pt idx="18">
                  <c:v>20.2</c:v>
                </c:pt>
                <c:pt idx="19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B-4E3C-9090-9A5C26D8502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Feuil1!$A$26:$A$45</c:f>
              <c:strCache>
                <c:ptCount val="20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T010</c:v>
                </c:pt>
                <c:pt idx="11">
                  <c:v>T011</c:v>
                </c:pt>
                <c:pt idx="12">
                  <c:v>T012</c:v>
                </c:pt>
                <c:pt idx="13">
                  <c:v>T013</c:v>
                </c:pt>
                <c:pt idx="14">
                  <c:v>T014</c:v>
                </c:pt>
                <c:pt idx="15">
                  <c:v>T015</c:v>
                </c:pt>
                <c:pt idx="16">
                  <c:v>T016</c:v>
                </c:pt>
                <c:pt idx="17">
                  <c:v>T017</c:v>
                </c:pt>
                <c:pt idx="18">
                  <c:v>T018</c:v>
                </c:pt>
                <c:pt idx="19">
                  <c:v>T019</c:v>
                </c:pt>
              </c:strCache>
            </c:strRef>
          </c:cat>
          <c:val>
            <c:numRef>
              <c:f>Feuil1!$C$26:$C$45</c:f>
              <c:numCache>
                <c:formatCode>General</c:formatCode>
                <c:ptCount val="20"/>
                <c:pt idx="0">
                  <c:v>17.7</c:v>
                </c:pt>
                <c:pt idx="1">
                  <c:v>17.7</c:v>
                </c:pt>
                <c:pt idx="2">
                  <c:v>17.899999999999999</c:v>
                </c:pt>
                <c:pt idx="3">
                  <c:v>18.100000000000001</c:v>
                </c:pt>
                <c:pt idx="4">
                  <c:v>18.2</c:v>
                </c:pt>
                <c:pt idx="5">
                  <c:v>18.399999999999999</c:v>
                </c:pt>
                <c:pt idx="6">
                  <c:v>18.600000000000001</c:v>
                </c:pt>
                <c:pt idx="7">
                  <c:v>18.899999999999999</c:v>
                </c:pt>
                <c:pt idx="8">
                  <c:v>19.100000000000001</c:v>
                </c:pt>
                <c:pt idx="9">
                  <c:v>19.2</c:v>
                </c:pt>
                <c:pt idx="10">
                  <c:v>19.399999999999999</c:v>
                </c:pt>
                <c:pt idx="11">
                  <c:v>19.600000000000001</c:v>
                </c:pt>
                <c:pt idx="12">
                  <c:v>19.600000000000001</c:v>
                </c:pt>
                <c:pt idx="13">
                  <c:v>19.8</c:v>
                </c:pt>
                <c:pt idx="14">
                  <c:v>20</c:v>
                </c:pt>
                <c:pt idx="15">
                  <c:v>20</c:v>
                </c:pt>
                <c:pt idx="16">
                  <c:v>20.6</c:v>
                </c:pt>
                <c:pt idx="17">
                  <c:v>20.8</c:v>
                </c:pt>
                <c:pt idx="18">
                  <c:v>20.2</c:v>
                </c:pt>
                <c:pt idx="19">
                  <c:v>19.7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B-4E3C-9090-9A5C26D85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395120"/>
        <c:axId val="446396104"/>
      </c:lineChart>
      <c:catAx>
        <c:axId val="44639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6396104"/>
        <c:crosses val="autoZero"/>
        <c:auto val="1"/>
        <c:lblAlgn val="ctr"/>
        <c:lblOffset val="100"/>
        <c:noMultiLvlLbl val="0"/>
      </c:catAx>
      <c:valAx>
        <c:axId val="446396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639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Feuil1!$A$47:$A$66</c:f>
              <c:strCache>
                <c:ptCount val="20"/>
                <c:pt idx="0">
                  <c:v>T20</c:v>
                </c:pt>
                <c:pt idx="1">
                  <c:v>T21</c:v>
                </c:pt>
                <c:pt idx="2">
                  <c:v>T22</c:v>
                </c:pt>
                <c:pt idx="3">
                  <c:v>T23</c:v>
                </c:pt>
                <c:pt idx="4">
                  <c:v>T24</c:v>
                </c:pt>
                <c:pt idx="5">
                  <c:v>T25</c:v>
                </c:pt>
                <c:pt idx="6">
                  <c:v>T26</c:v>
                </c:pt>
                <c:pt idx="7">
                  <c:v>T27</c:v>
                </c:pt>
                <c:pt idx="8">
                  <c:v>T28</c:v>
                </c:pt>
                <c:pt idx="9">
                  <c:v>T29</c:v>
                </c:pt>
                <c:pt idx="10">
                  <c:v>T210</c:v>
                </c:pt>
                <c:pt idx="11">
                  <c:v>T211</c:v>
                </c:pt>
                <c:pt idx="12">
                  <c:v>T212</c:v>
                </c:pt>
                <c:pt idx="13">
                  <c:v>T213</c:v>
                </c:pt>
                <c:pt idx="14">
                  <c:v>T214</c:v>
                </c:pt>
                <c:pt idx="15">
                  <c:v>T215</c:v>
                </c:pt>
                <c:pt idx="16">
                  <c:v>T216</c:v>
                </c:pt>
                <c:pt idx="17">
                  <c:v>T217</c:v>
                </c:pt>
                <c:pt idx="18">
                  <c:v>T218</c:v>
                </c:pt>
                <c:pt idx="19">
                  <c:v>T219</c:v>
                </c:pt>
              </c:strCache>
            </c:strRef>
          </c:cat>
          <c:val>
            <c:numRef>
              <c:f>Feuil1!$B$47:$B$66</c:f>
              <c:numCache>
                <c:formatCode>General</c:formatCode>
                <c:ptCount val="20"/>
                <c:pt idx="0">
                  <c:v>68.5</c:v>
                </c:pt>
                <c:pt idx="1">
                  <c:v>68.7</c:v>
                </c:pt>
                <c:pt idx="2">
                  <c:v>68.900000000000006</c:v>
                </c:pt>
                <c:pt idx="3">
                  <c:v>69</c:v>
                </c:pt>
                <c:pt idx="4">
                  <c:v>69.099999999999994</c:v>
                </c:pt>
                <c:pt idx="5">
                  <c:v>69.3</c:v>
                </c:pt>
                <c:pt idx="6">
                  <c:v>69.5</c:v>
                </c:pt>
                <c:pt idx="7">
                  <c:v>69.5</c:v>
                </c:pt>
                <c:pt idx="8">
                  <c:v>69.599999999999994</c:v>
                </c:pt>
                <c:pt idx="9">
                  <c:v>69.900000000000006</c:v>
                </c:pt>
                <c:pt idx="10">
                  <c:v>69.900000000000006</c:v>
                </c:pt>
                <c:pt idx="11">
                  <c:v>70.7</c:v>
                </c:pt>
                <c:pt idx="12">
                  <c:v>71.099999999999994</c:v>
                </c:pt>
                <c:pt idx="13">
                  <c:v>71.5</c:v>
                </c:pt>
                <c:pt idx="14">
                  <c:v>70.900000000000006</c:v>
                </c:pt>
                <c:pt idx="15">
                  <c:v>70.7</c:v>
                </c:pt>
                <c:pt idx="16">
                  <c:v>70.8</c:v>
                </c:pt>
                <c:pt idx="17">
                  <c:v>71</c:v>
                </c:pt>
                <c:pt idx="18">
                  <c:v>70.400000000000006</c:v>
                </c:pt>
                <c:pt idx="19">
                  <c:v>70.7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4-49C2-A9B0-5172C61E656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Feuil1!$A$47:$A$66</c:f>
              <c:strCache>
                <c:ptCount val="20"/>
                <c:pt idx="0">
                  <c:v>T20</c:v>
                </c:pt>
                <c:pt idx="1">
                  <c:v>T21</c:v>
                </c:pt>
                <c:pt idx="2">
                  <c:v>T22</c:v>
                </c:pt>
                <c:pt idx="3">
                  <c:v>T23</c:v>
                </c:pt>
                <c:pt idx="4">
                  <c:v>T24</c:v>
                </c:pt>
                <c:pt idx="5">
                  <c:v>T25</c:v>
                </c:pt>
                <c:pt idx="6">
                  <c:v>T26</c:v>
                </c:pt>
                <c:pt idx="7">
                  <c:v>T27</c:v>
                </c:pt>
                <c:pt idx="8">
                  <c:v>T28</c:v>
                </c:pt>
                <c:pt idx="9">
                  <c:v>T29</c:v>
                </c:pt>
                <c:pt idx="10">
                  <c:v>T210</c:v>
                </c:pt>
                <c:pt idx="11">
                  <c:v>T211</c:v>
                </c:pt>
                <c:pt idx="12">
                  <c:v>T212</c:v>
                </c:pt>
                <c:pt idx="13">
                  <c:v>T213</c:v>
                </c:pt>
                <c:pt idx="14">
                  <c:v>T214</c:v>
                </c:pt>
                <c:pt idx="15">
                  <c:v>T215</c:v>
                </c:pt>
                <c:pt idx="16">
                  <c:v>T216</c:v>
                </c:pt>
                <c:pt idx="17">
                  <c:v>T217</c:v>
                </c:pt>
                <c:pt idx="18">
                  <c:v>T218</c:v>
                </c:pt>
                <c:pt idx="19">
                  <c:v>T219</c:v>
                </c:pt>
              </c:strCache>
            </c:strRef>
          </c:cat>
          <c:val>
            <c:numRef>
              <c:f>Feuil1!$C$47:$C$66</c:f>
              <c:numCache>
                <c:formatCode>General</c:formatCode>
                <c:ptCount val="20"/>
                <c:pt idx="0">
                  <c:v>78</c:v>
                </c:pt>
                <c:pt idx="1">
                  <c:v>78.2</c:v>
                </c:pt>
                <c:pt idx="2">
                  <c:v>77.900000000000006</c:v>
                </c:pt>
                <c:pt idx="3">
                  <c:v>77.599999999999994</c:v>
                </c:pt>
                <c:pt idx="4">
                  <c:v>77.3</c:v>
                </c:pt>
                <c:pt idx="5">
                  <c:v>77</c:v>
                </c:pt>
                <c:pt idx="6">
                  <c:v>76.599999999999994</c:v>
                </c:pt>
                <c:pt idx="7">
                  <c:v>76.099999999999994</c:v>
                </c:pt>
                <c:pt idx="8">
                  <c:v>75.599999999999994</c:v>
                </c:pt>
                <c:pt idx="9">
                  <c:v>75.2</c:v>
                </c:pt>
                <c:pt idx="10">
                  <c:v>75</c:v>
                </c:pt>
                <c:pt idx="11">
                  <c:v>74.5</c:v>
                </c:pt>
                <c:pt idx="12">
                  <c:v>74.599999999999994</c:v>
                </c:pt>
                <c:pt idx="13">
                  <c:v>74.2</c:v>
                </c:pt>
                <c:pt idx="14">
                  <c:v>73.8</c:v>
                </c:pt>
                <c:pt idx="15">
                  <c:v>73.900000000000006</c:v>
                </c:pt>
                <c:pt idx="16">
                  <c:v>72.400000000000006</c:v>
                </c:pt>
                <c:pt idx="17">
                  <c:v>71.900000000000006</c:v>
                </c:pt>
                <c:pt idx="18">
                  <c:v>71.3</c:v>
                </c:pt>
                <c:pt idx="19">
                  <c:v>71.599999999999994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D4-49C2-A9B0-5172C61E6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534256"/>
        <c:axId val="445534584"/>
      </c:lineChart>
      <c:catAx>
        <c:axId val="44553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5534584"/>
        <c:crosses val="autoZero"/>
        <c:auto val="1"/>
        <c:lblAlgn val="ctr"/>
        <c:lblOffset val="100"/>
        <c:noMultiLvlLbl val="0"/>
      </c:catAx>
      <c:valAx>
        <c:axId val="4455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553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586740</xdr:colOff>
      <xdr:row>21</xdr:row>
      <xdr:rowOff>137160</xdr:rowOff>
    </xdr:from>
    <xdr:to>
      <xdr:col>18</xdr:col>
      <xdr:colOff>403860</xdr:colOff>
      <xdr:row>36</xdr:row>
      <xdr:rowOff>137160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35D2201-4625-4C27-844F-A6BFF6E55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68580</xdr:colOff>
      <xdr:row>43</xdr:row>
      <xdr:rowOff>121920</xdr:rowOff>
    </xdr:from>
    <xdr:to>
      <xdr:col>17</xdr:col>
      <xdr:colOff>678180</xdr:colOff>
      <xdr:row>59</xdr:row>
      <xdr:rowOff>121920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2EF70DD-7092-4E0E-B81A-115B83266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E058-81F4-42E3-8545-0049FF46C7D8}">
  <dimension ref="A1:L69"/>
  <sheetViews>
    <sheetView tabSelected="1" topLeftCell="A38" workbookViewId="0">
      <selection activeCell="I50" sqref="I50"/>
    </sheetView>
  </sheetViews>
  <sheetFormatPr baseColWidth="10" defaultRowHeight="14.4" x14ac:dyDescent="0.3"/>
  <sheetData>
    <row r="1" spans="1:11" x14ac:dyDescent="0.3">
      <c r="J1" t="s">
        <v>77</v>
      </c>
    </row>
    <row r="3" spans="1:11" x14ac:dyDescent="0.3">
      <c r="A3" t="s">
        <v>0</v>
      </c>
      <c r="J3" t="s">
        <v>0</v>
      </c>
    </row>
    <row r="4" spans="1:11" x14ac:dyDescent="0.3">
      <c r="A4" t="s">
        <v>1</v>
      </c>
      <c r="J4" t="s">
        <v>68</v>
      </c>
    </row>
    <row r="5" spans="1:11" x14ac:dyDescent="0.3">
      <c r="A5" t="s">
        <v>2</v>
      </c>
      <c r="J5" t="s">
        <v>69</v>
      </c>
    </row>
    <row r="7" spans="1:11" x14ac:dyDescent="0.3">
      <c r="F7" t="s">
        <v>76</v>
      </c>
      <c r="J7" t="s">
        <v>77</v>
      </c>
    </row>
    <row r="8" spans="1:11" x14ac:dyDescent="0.3">
      <c r="A8" t="s">
        <v>3</v>
      </c>
      <c r="F8" t="s">
        <v>4</v>
      </c>
      <c r="J8" t="s">
        <v>3</v>
      </c>
      <c r="K8" t="s">
        <v>4</v>
      </c>
    </row>
    <row r="9" spans="1:11" x14ac:dyDescent="0.3">
      <c r="A9" t="s">
        <v>5</v>
      </c>
      <c r="F9" t="s">
        <v>6</v>
      </c>
      <c r="J9" t="s">
        <v>5</v>
      </c>
      <c r="K9" t="s">
        <v>6</v>
      </c>
    </row>
    <row r="10" spans="1:11" x14ac:dyDescent="0.3">
      <c r="A10" t="s">
        <v>7</v>
      </c>
      <c r="F10" s="1">
        <v>0.34771990740740738</v>
      </c>
      <c r="J10" t="s">
        <v>7</v>
      </c>
      <c r="K10" s="1">
        <v>0.3490625</v>
      </c>
    </row>
    <row r="11" spans="1:11" x14ac:dyDescent="0.3">
      <c r="A11" t="s">
        <v>8</v>
      </c>
      <c r="F11" t="s">
        <v>9</v>
      </c>
      <c r="J11" t="s">
        <v>8</v>
      </c>
      <c r="K11" t="s">
        <v>9</v>
      </c>
    </row>
    <row r="12" spans="1:11" x14ac:dyDescent="0.3">
      <c r="A12" t="s">
        <v>10</v>
      </c>
      <c r="F12">
        <v>1466</v>
      </c>
      <c r="J12" t="s">
        <v>10</v>
      </c>
      <c r="K12">
        <v>327</v>
      </c>
    </row>
    <row r="13" spans="1:11" x14ac:dyDescent="0.3">
      <c r="A13" t="s">
        <v>11</v>
      </c>
      <c r="J13" t="s">
        <v>11</v>
      </c>
    </row>
    <row r="14" spans="1:11" x14ac:dyDescent="0.3">
      <c r="A14" t="s">
        <v>12</v>
      </c>
      <c r="F14">
        <v>0</v>
      </c>
      <c r="J14" t="s">
        <v>12</v>
      </c>
      <c r="K14">
        <v>0</v>
      </c>
    </row>
    <row r="15" spans="1:11" x14ac:dyDescent="0.3">
      <c r="A15" t="s">
        <v>13</v>
      </c>
      <c r="F15">
        <v>0</v>
      </c>
      <c r="J15" t="s">
        <v>13</v>
      </c>
      <c r="K15">
        <v>0</v>
      </c>
    </row>
    <row r="16" spans="1:11" x14ac:dyDescent="0.3">
      <c r="A16" t="s">
        <v>14</v>
      </c>
      <c r="F16">
        <v>15</v>
      </c>
      <c r="J16" t="s">
        <v>14</v>
      </c>
      <c r="K16">
        <v>15</v>
      </c>
    </row>
    <row r="17" spans="1:12" x14ac:dyDescent="0.3">
      <c r="A17" t="s">
        <v>15</v>
      </c>
      <c r="F17">
        <v>889</v>
      </c>
      <c r="J17" t="s">
        <v>15</v>
      </c>
      <c r="K17">
        <v>876</v>
      </c>
    </row>
    <row r="18" spans="1:12" x14ac:dyDescent="0.3">
      <c r="A18" t="s">
        <v>16</v>
      </c>
      <c r="F18" t="s">
        <v>17</v>
      </c>
      <c r="J18" t="s">
        <v>16</v>
      </c>
      <c r="K18" t="s">
        <v>17</v>
      </c>
    </row>
    <row r="19" spans="1:12" x14ac:dyDescent="0.3">
      <c r="A19" t="s">
        <v>18</v>
      </c>
      <c r="F19" t="s">
        <v>19</v>
      </c>
      <c r="J19" t="s">
        <v>18</v>
      </c>
      <c r="K19" t="s">
        <v>70</v>
      </c>
    </row>
    <row r="20" spans="1:12" x14ac:dyDescent="0.3">
      <c r="A20" t="s">
        <v>20</v>
      </c>
      <c r="F20" t="s">
        <v>21</v>
      </c>
      <c r="J20" t="s">
        <v>20</v>
      </c>
      <c r="K20" t="s">
        <v>71</v>
      </c>
    </row>
    <row r="21" spans="1:12" x14ac:dyDescent="0.3">
      <c r="A21" t="s">
        <v>22</v>
      </c>
      <c r="F21">
        <v>0</v>
      </c>
      <c r="J21" t="s">
        <v>22</v>
      </c>
      <c r="K21">
        <v>0</v>
      </c>
    </row>
    <row r="22" spans="1:12" x14ac:dyDescent="0.3">
      <c r="A22" t="s">
        <v>23</v>
      </c>
      <c r="F22" t="s">
        <v>24</v>
      </c>
      <c r="J22" t="s">
        <v>23</v>
      </c>
      <c r="K22" t="s">
        <v>72</v>
      </c>
    </row>
    <row r="23" spans="1:12" x14ac:dyDescent="0.3">
      <c r="A23" t="s">
        <v>25</v>
      </c>
      <c r="B23">
        <f>B38-B26</f>
        <v>1.8000000000000007</v>
      </c>
      <c r="C23">
        <f>C38-C26</f>
        <v>1.9000000000000021</v>
      </c>
      <c r="F23">
        <v>0</v>
      </c>
      <c r="J23" t="s">
        <v>25</v>
      </c>
      <c r="K23">
        <v>0</v>
      </c>
    </row>
    <row r="24" spans="1:12" x14ac:dyDescent="0.3">
      <c r="A24" t="s">
        <v>26</v>
      </c>
      <c r="F24">
        <v>0</v>
      </c>
      <c r="J24" t="s">
        <v>26</v>
      </c>
      <c r="K24">
        <v>0</v>
      </c>
    </row>
    <row r="25" spans="1:12" x14ac:dyDescent="0.3">
      <c r="A25" t="s">
        <v>27</v>
      </c>
      <c r="F25">
        <v>0</v>
      </c>
      <c r="J25" t="s">
        <v>27</v>
      </c>
      <c r="K25">
        <v>0</v>
      </c>
    </row>
    <row r="26" spans="1:12" x14ac:dyDescent="0.3">
      <c r="A26" t="s">
        <v>28</v>
      </c>
      <c r="B26">
        <f>G26</f>
        <v>17.7</v>
      </c>
      <c r="C26">
        <f>L26</f>
        <v>17.7</v>
      </c>
      <c r="F26">
        <v>177</v>
      </c>
      <c r="G26">
        <f>F26/10</f>
        <v>17.7</v>
      </c>
      <c r="J26" t="s">
        <v>28</v>
      </c>
      <c r="K26">
        <v>177</v>
      </c>
      <c r="L26">
        <f>K26/10</f>
        <v>17.7</v>
      </c>
    </row>
    <row r="27" spans="1:12" x14ac:dyDescent="0.3">
      <c r="A27" t="s">
        <v>29</v>
      </c>
      <c r="B27">
        <f t="shared" ref="B27:B45" si="0">G27</f>
        <v>17.7</v>
      </c>
      <c r="C27">
        <f t="shared" ref="C27:C45" si="1">L27</f>
        <v>17.7</v>
      </c>
      <c r="F27">
        <v>177</v>
      </c>
      <c r="G27">
        <f t="shared" ref="G27:G45" si="2">F27/10</f>
        <v>17.7</v>
      </c>
      <c r="J27" t="s">
        <v>29</v>
      </c>
      <c r="K27">
        <v>177</v>
      </c>
      <c r="L27">
        <f t="shared" ref="L27:L45" si="3">K27/10</f>
        <v>17.7</v>
      </c>
    </row>
    <row r="28" spans="1:12" x14ac:dyDescent="0.3">
      <c r="A28" t="s">
        <v>30</v>
      </c>
      <c r="B28">
        <f t="shared" si="0"/>
        <v>17.899999999999999</v>
      </c>
      <c r="C28">
        <f t="shared" si="1"/>
        <v>17.899999999999999</v>
      </c>
      <c r="F28">
        <v>179</v>
      </c>
      <c r="G28">
        <f t="shared" si="2"/>
        <v>17.899999999999999</v>
      </c>
      <c r="J28" t="s">
        <v>30</v>
      </c>
      <c r="K28">
        <v>179</v>
      </c>
      <c r="L28">
        <f t="shared" si="3"/>
        <v>17.899999999999999</v>
      </c>
    </row>
    <row r="29" spans="1:12" x14ac:dyDescent="0.3">
      <c r="A29" t="s">
        <v>31</v>
      </c>
      <c r="B29">
        <f t="shared" si="0"/>
        <v>18</v>
      </c>
      <c r="C29">
        <f t="shared" si="1"/>
        <v>18.100000000000001</v>
      </c>
      <c r="F29">
        <v>180</v>
      </c>
      <c r="G29">
        <f t="shared" si="2"/>
        <v>18</v>
      </c>
      <c r="J29" t="s">
        <v>31</v>
      </c>
      <c r="K29">
        <v>181</v>
      </c>
      <c r="L29">
        <f t="shared" si="3"/>
        <v>18.100000000000001</v>
      </c>
    </row>
    <row r="30" spans="1:12" x14ac:dyDescent="0.3">
      <c r="A30" t="s">
        <v>32</v>
      </c>
      <c r="B30">
        <f t="shared" si="0"/>
        <v>18.2</v>
      </c>
      <c r="C30">
        <f t="shared" si="1"/>
        <v>18.2</v>
      </c>
      <c r="F30">
        <v>182</v>
      </c>
      <c r="G30">
        <f t="shared" si="2"/>
        <v>18.2</v>
      </c>
      <c r="J30" t="s">
        <v>32</v>
      </c>
      <c r="K30">
        <v>182</v>
      </c>
      <c r="L30">
        <f t="shared" si="3"/>
        <v>18.2</v>
      </c>
    </row>
    <row r="31" spans="1:12" x14ac:dyDescent="0.3">
      <c r="A31" t="s">
        <v>33</v>
      </c>
      <c r="B31">
        <f t="shared" si="0"/>
        <v>18.399999999999999</v>
      </c>
      <c r="C31">
        <f t="shared" si="1"/>
        <v>18.399999999999999</v>
      </c>
      <c r="F31">
        <v>184</v>
      </c>
      <c r="G31">
        <f t="shared" si="2"/>
        <v>18.399999999999999</v>
      </c>
      <c r="J31" t="s">
        <v>33</v>
      </c>
      <c r="K31">
        <v>184</v>
      </c>
      <c r="L31">
        <f t="shared" si="3"/>
        <v>18.399999999999999</v>
      </c>
    </row>
    <row r="32" spans="1:12" x14ac:dyDescent="0.3">
      <c r="A32" t="s">
        <v>34</v>
      </c>
      <c r="B32">
        <f t="shared" si="0"/>
        <v>18.600000000000001</v>
      </c>
      <c r="C32">
        <f t="shared" si="1"/>
        <v>18.600000000000001</v>
      </c>
      <c r="F32">
        <v>186</v>
      </c>
      <c r="G32">
        <f t="shared" si="2"/>
        <v>18.600000000000001</v>
      </c>
      <c r="J32" t="s">
        <v>34</v>
      </c>
      <c r="K32">
        <v>186</v>
      </c>
      <c r="L32">
        <f t="shared" si="3"/>
        <v>18.600000000000001</v>
      </c>
    </row>
    <row r="33" spans="1:12" x14ac:dyDescent="0.3">
      <c r="A33" t="s">
        <v>35</v>
      </c>
      <c r="B33">
        <f t="shared" si="0"/>
        <v>18.8</v>
      </c>
      <c r="C33">
        <f t="shared" si="1"/>
        <v>18.899999999999999</v>
      </c>
      <c r="F33">
        <v>188</v>
      </c>
      <c r="G33">
        <f t="shared" si="2"/>
        <v>18.8</v>
      </c>
      <c r="J33" t="s">
        <v>35</v>
      </c>
      <c r="K33">
        <v>189</v>
      </c>
      <c r="L33">
        <f t="shared" si="3"/>
        <v>18.899999999999999</v>
      </c>
    </row>
    <row r="34" spans="1:12" x14ac:dyDescent="0.3">
      <c r="A34" t="s">
        <v>36</v>
      </c>
      <c r="B34">
        <f t="shared" si="0"/>
        <v>19</v>
      </c>
      <c r="C34">
        <f t="shared" si="1"/>
        <v>19.100000000000001</v>
      </c>
      <c r="F34">
        <v>190</v>
      </c>
      <c r="G34">
        <f t="shared" si="2"/>
        <v>19</v>
      </c>
      <c r="J34" t="s">
        <v>36</v>
      </c>
      <c r="K34">
        <v>191</v>
      </c>
      <c r="L34">
        <f t="shared" si="3"/>
        <v>19.100000000000001</v>
      </c>
    </row>
    <row r="35" spans="1:12" x14ac:dyDescent="0.3">
      <c r="A35" t="s">
        <v>37</v>
      </c>
      <c r="B35">
        <f t="shared" si="0"/>
        <v>19.2</v>
      </c>
      <c r="C35">
        <f t="shared" si="1"/>
        <v>19.2</v>
      </c>
      <c r="F35">
        <v>192</v>
      </c>
      <c r="G35">
        <f t="shared" si="2"/>
        <v>19.2</v>
      </c>
      <c r="J35" t="s">
        <v>37</v>
      </c>
      <c r="K35">
        <v>192</v>
      </c>
      <c r="L35">
        <f t="shared" si="3"/>
        <v>19.2</v>
      </c>
    </row>
    <row r="36" spans="1:12" x14ac:dyDescent="0.3">
      <c r="A36" t="s">
        <v>38</v>
      </c>
      <c r="B36">
        <f t="shared" si="0"/>
        <v>19.399999999999999</v>
      </c>
      <c r="C36">
        <f t="shared" si="1"/>
        <v>19.399999999999999</v>
      </c>
      <c r="F36">
        <v>194</v>
      </c>
      <c r="G36">
        <f t="shared" si="2"/>
        <v>19.399999999999999</v>
      </c>
      <c r="J36" t="s">
        <v>38</v>
      </c>
      <c r="K36">
        <v>194</v>
      </c>
      <c r="L36">
        <f t="shared" si="3"/>
        <v>19.399999999999999</v>
      </c>
    </row>
    <row r="37" spans="1:12" x14ac:dyDescent="0.3">
      <c r="A37" t="s">
        <v>39</v>
      </c>
      <c r="B37">
        <f t="shared" si="0"/>
        <v>19.5</v>
      </c>
      <c r="C37">
        <f t="shared" si="1"/>
        <v>19.600000000000001</v>
      </c>
      <c r="F37">
        <v>195</v>
      </c>
      <c r="G37">
        <f t="shared" si="2"/>
        <v>19.5</v>
      </c>
      <c r="J37" t="s">
        <v>39</v>
      </c>
      <c r="K37">
        <v>196</v>
      </c>
      <c r="L37">
        <f t="shared" si="3"/>
        <v>19.600000000000001</v>
      </c>
    </row>
    <row r="38" spans="1:12" x14ac:dyDescent="0.3">
      <c r="A38" t="s">
        <v>40</v>
      </c>
      <c r="B38">
        <f t="shared" si="0"/>
        <v>19.5</v>
      </c>
      <c r="C38">
        <f t="shared" si="1"/>
        <v>19.600000000000001</v>
      </c>
      <c r="F38">
        <v>195</v>
      </c>
      <c r="G38">
        <f t="shared" si="2"/>
        <v>19.5</v>
      </c>
      <c r="J38" t="s">
        <v>40</v>
      </c>
      <c r="K38">
        <v>196</v>
      </c>
      <c r="L38">
        <f t="shared" si="3"/>
        <v>19.600000000000001</v>
      </c>
    </row>
    <row r="39" spans="1:12" x14ac:dyDescent="0.3">
      <c r="A39" t="s">
        <v>41</v>
      </c>
      <c r="B39">
        <f t="shared" si="0"/>
        <v>19.600000000000001</v>
      </c>
      <c r="C39">
        <f t="shared" si="1"/>
        <v>19.8</v>
      </c>
      <c r="F39">
        <v>196</v>
      </c>
      <c r="G39">
        <f t="shared" si="2"/>
        <v>19.600000000000001</v>
      </c>
      <c r="J39" t="s">
        <v>41</v>
      </c>
      <c r="K39">
        <v>198</v>
      </c>
      <c r="L39">
        <f t="shared" si="3"/>
        <v>19.8</v>
      </c>
    </row>
    <row r="40" spans="1:12" x14ac:dyDescent="0.3">
      <c r="A40" t="s">
        <v>42</v>
      </c>
      <c r="B40">
        <f t="shared" si="0"/>
        <v>19.600000000000001</v>
      </c>
      <c r="C40">
        <f t="shared" si="1"/>
        <v>20</v>
      </c>
      <c r="F40">
        <v>196</v>
      </c>
      <c r="G40">
        <f t="shared" si="2"/>
        <v>19.600000000000001</v>
      </c>
      <c r="J40" t="s">
        <v>42</v>
      </c>
      <c r="K40">
        <v>200</v>
      </c>
      <c r="L40">
        <f t="shared" si="3"/>
        <v>20</v>
      </c>
    </row>
    <row r="41" spans="1:12" x14ac:dyDescent="0.3">
      <c r="A41" t="s">
        <v>43</v>
      </c>
      <c r="B41">
        <f t="shared" si="0"/>
        <v>19.600000000000001</v>
      </c>
      <c r="C41">
        <f t="shared" si="1"/>
        <v>20</v>
      </c>
      <c r="F41">
        <v>196</v>
      </c>
      <c r="G41">
        <f t="shared" si="2"/>
        <v>19.600000000000001</v>
      </c>
      <c r="J41" t="s">
        <v>43</v>
      </c>
      <c r="K41">
        <v>200</v>
      </c>
      <c r="L41">
        <f t="shared" si="3"/>
        <v>20</v>
      </c>
    </row>
    <row r="42" spans="1:12" x14ac:dyDescent="0.3">
      <c r="A42" t="s">
        <v>44</v>
      </c>
      <c r="B42">
        <f t="shared" si="0"/>
        <v>20</v>
      </c>
      <c r="C42">
        <f t="shared" si="1"/>
        <v>20.6</v>
      </c>
      <c r="F42">
        <v>200</v>
      </c>
      <c r="G42">
        <f t="shared" si="2"/>
        <v>20</v>
      </c>
      <c r="J42" t="s">
        <v>44</v>
      </c>
      <c r="K42">
        <v>206</v>
      </c>
      <c r="L42">
        <f t="shared" si="3"/>
        <v>20.6</v>
      </c>
    </row>
    <row r="43" spans="1:12" x14ac:dyDescent="0.3">
      <c r="A43" t="s">
        <v>45</v>
      </c>
      <c r="B43">
        <f t="shared" si="0"/>
        <v>20.2</v>
      </c>
      <c r="C43">
        <f t="shared" si="1"/>
        <v>20.8</v>
      </c>
      <c r="F43">
        <v>202</v>
      </c>
      <c r="G43">
        <f t="shared" si="2"/>
        <v>20.2</v>
      </c>
      <c r="J43" t="s">
        <v>45</v>
      </c>
      <c r="K43">
        <v>208</v>
      </c>
      <c r="L43">
        <f t="shared" si="3"/>
        <v>20.8</v>
      </c>
    </row>
    <row r="44" spans="1:12" x14ac:dyDescent="0.3">
      <c r="A44" t="s">
        <v>46</v>
      </c>
      <c r="B44">
        <f t="shared" si="0"/>
        <v>20.2</v>
      </c>
      <c r="C44">
        <f t="shared" si="1"/>
        <v>20.2</v>
      </c>
      <c r="F44">
        <v>202</v>
      </c>
      <c r="G44">
        <f t="shared" si="2"/>
        <v>20.2</v>
      </c>
      <c r="J44" t="s">
        <v>46</v>
      </c>
      <c r="K44">
        <v>202</v>
      </c>
      <c r="L44">
        <f t="shared" si="3"/>
        <v>20.2</v>
      </c>
    </row>
    <row r="45" spans="1:12" x14ac:dyDescent="0.3">
      <c r="A45" t="s">
        <v>47</v>
      </c>
      <c r="B45">
        <f t="shared" si="0"/>
        <v>19.600000000000001</v>
      </c>
      <c r="C45">
        <f t="shared" si="1"/>
        <v>19.7</v>
      </c>
      <c r="F45">
        <v>196</v>
      </c>
      <c r="G45">
        <f t="shared" si="2"/>
        <v>19.600000000000001</v>
      </c>
      <c r="J45" t="s">
        <v>47</v>
      </c>
      <c r="K45">
        <v>197</v>
      </c>
      <c r="L45">
        <f t="shared" si="3"/>
        <v>19.7</v>
      </c>
    </row>
    <row r="46" spans="1:12" x14ac:dyDescent="0.3">
      <c r="D46" t="s">
        <v>78</v>
      </c>
      <c r="H46" t="s">
        <v>76</v>
      </c>
    </row>
    <row r="47" spans="1:12" x14ac:dyDescent="0.3">
      <c r="A47" t="s">
        <v>48</v>
      </c>
      <c r="B47">
        <f>F47/10</f>
        <v>68.5</v>
      </c>
      <c r="C47">
        <f>K47/10</f>
        <v>78</v>
      </c>
      <c r="D47">
        <v>9.9</v>
      </c>
      <c r="E47">
        <f>(6.112*EXP((17.67*C26)/(C26+243.5))*C47*2.1674)/(273.15+C26)</f>
        <v>11.764379777016297</v>
      </c>
      <c r="F47">
        <v>685</v>
      </c>
      <c r="G47">
        <f>F47/10</f>
        <v>68.5</v>
      </c>
      <c r="H47">
        <v>8.6999999999999993</v>
      </c>
      <c r="I47">
        <f>(6.112*EXP((17.67*G26)/(G26+243.5))*G47*2.1674)/(273.15+G26)</f>
        <v>10.331538650328413</v>
      </c>
      <c r="J47" t="s">
        <v>48</v>
      </c>
      <c r="K47">
        <v>780</v>
      </c>
    </row>
    <row r="48" spans="1:12" x14ac:dyDescent="0.3">
      <c r="A48" t="s">
        <v>49</v>
      </c>
      <c r="B48">
        <f t="shared" ref="B48:B66" si="4">F48/10</f>
        <v>68.7</v>
      </c>
      <c r="C48">
        <f t="shared" ref="C48:C66" si="5">K48/10</f>
        <v>78.2</v>
      </c>
      <c r="D48" s="2">
        <f>(D59-D47)/D59</f>
        <v>7.4766355140186827E-2</v>
      </c>
      <c r="E48">
        <f>(C47-E47)/E47</f>
        <v>5.6301837817567035</v>
      </c>
      <c r="F48">
        <v>687</v>
      </c>
      <c r="G48">
        <f t="shared" ref="G48:G66" si="6">F48/10</f>
        <v>68.7</v>
      </c>
      <c r="H48" s="2">
        <f>(H59-H47)/H59</f>
        <v>0.12121212121212131</v>
      </c>
      <c r="I48" s="2">
        <f>(I59-I47)/I59</f>
        <v>0.13396000125426863</v>
      </c>
      <c r="J48" t="s">
        <v>49</v>
      </c>
      <c r="K48">
        <v>782</v>
      </c>
    </row>
    <row r="49" spans="1:11" x14ac:dyDescent="0.3">
      <c r="A49" t="s">
        <v>50</v>
      </c>
      <c r="B49">
        <f t="shared" si="4"/>
        <v>68.900000000000006</v>
      </c>
      <c r="C49">
        <f t="shared" si="5"/>
        <v>77.900000000000006</v>
      </c>
      <c r="F49">
        <v>689</v>
      </c>
      <c r="G49">
        <f t="shared" si="6"/>
        <v>68.900000000000006</v>
      </c>
      <c r="J49" t="s">
        <v>50</v>
      </c>
      <c r="K49">
        <v>779</v>
      </c>
    </row>
    <row r="50" spans="1:11" x14ac:dyDescent="0.3">
      <c r="A50" t="s">
        <v>51</v>
      </c>
      <c r="B50">
        <f t="shared" si="4"/>
        <v>69</v>
      </c>
      <c r="C50">
        <f t="shared" si="5"/>
        <v>77.599999999999994</v>
      </c>
      <c r="F50">
        <v>690</v>
      </c>
      <c r="G50">
        <f t="shared" si="6"/>
        <v>69</v>
      </c>
      <c r="J50" t="s">
        <v>51</v>
      </c>
      <c r="K50">
        <v>776</v>
      </c>
    </row>
    <row r="51" spans="1:11" x14ac:dyDescent="0.3">
      <c r="A51" t="s">
        <v>52</v>
      </c>
      <c r="B51">
        <f t="shared" si="4"/>
        <v>69.099999999999994</v>
      </c>
      <c r="C51">
        <f t="shared" si="5"/>
        <v>77.3</v>
      </c>
      <c r="F51">
        <v>691</v>
      </c>
      <c r="G51">
        <f t="shared" si="6"/>
        <v>69.099999999999994</v>
      </c>
      <c r="J51" t="s">
        <v>52</v>
      </c>
      <c r="K51">
        <v>773</v>
      </c>
    </row>
    <row r="52" spans="1:11" x14ac:dyDescent="0.3">
      <c r="A52" t="s">
        <v>53</v>
      </c>
      <c r="B52">
        <f t="shared" si="4"/>
        <v>69.3</v>
      </c>
      <c r="C52">
        <f t="shared" si="5"/>
        <v>77</v>
      </c>
      <c r="F52">
        <v>693</v>
      </c>
      <c r="G52">
        <f t="shared" si="6"/>
        <v>69.3</v>
      </c>
      <c r="J52" t="s">
        <v>53</v>
      </c>
      <c r="K52">
        <v>770</v>
      </c>
    </row>
    <row r="53" spans="1:11" x14ac:dyDescent="0.3">
      <c r="A53" t="s">
        <v>54</v>
      </c>
      <c r="B53">
        <f t="shared" si="4"/>
        <v>69.5</v>
      </c>
      <c r="C53">
        <f t="shared" si="5"/>
        <v>76.599999999999994</v>
      </c>
      <c r="F53">
        <v>695</v>
      </c>
      <c r="G53">
        <f t="shared" si="6"/>
        <v>69.5</v>
      </c>
      <c r="J53" t="s">
        <v>54</v>
      </c>
      <c r="K53">
        <v>766</v>
      </c>
    </row>
    <row r="54" spans="1:11" x14ac:dyDescent="0.3">
      <c r="A54" t="s">
        <v>55</v>
      </c>
      <c r="B54">
        <f t="shared" si="4"/>
        <v>69.5</v>
      </c>
      <c r="C54">
        <f t="shared" si="5"/>
        <v>76.099999999999994</v>
      </c>
      <c r="F54">
        <v>695</v>
      </c>
      <c r="G54">
        <f t="shared" si="6"/>
        <v>69.5</v>
      </c>
      <c r="J54" t="s">
        <v>55</v>
      </c>
      <c r="K54">
        <v>761</v>
      </c>
    </row>
    <row r="55" spans="1:11" x14ac:dyDescent="0.3">
      <c r="A55" t="s">
        <v>56</v>
      </c>
      <c r="B55">
        <f t="shared" si="4"/>
        <v>69.599999999999994</v>
      </c>
      <c r="C55">
        <f t="shared" si="5"/>
        <v>75.599999999999994</v>
      </c>
      <c r="F55">
        <v>696</v>
      </c>
      <c r="G55">
        <f t="shared" si="6"/>
        <v>69.599999999999994</v>
      </c>
      <c r="J55" t="s">
        <v>56</v>
      </c>
      <c r="K55">
        <v>756</v>
      </c>
    </row>
    <row r="56" spans="1:11" x14ac:dyDescent="0.3">
      <c r="A56" t="s">
        <v>57</v>
      </c>
      <c r="B56">
        <f t="shared" si="4"/>
        <v>69.900000000000006</v>
      </c>
      <c r="C56">
        <f t="shared" si="5"/>
        <v>75.2</v>
      </c>
      <c r="F56">
        <v>699</v>
      </c>
      <c r="G56">
        <f t="shared" si="6"/>
        <v>69.900000000000006</v>
      </c>
      <c r="J56" t="s">
        <v>57</v>
      </c>
      <c r="K56">
        <v>752</v>
      </c>
    </row>
    <row r="57" spans="1:11" x14ac:dyDescent="0.3">
      <c r="A57" t="s">
        <v>58</v>
      </c>
      <c r="B57">
        <f t="shared" si="4"/>
        <v>69.900000000000006</v>
      </c>
      <c r="C57">
        <f t="shared" si="5"/>
        <v>75</v>
      </c>
      <c r="F57">
        <v>699</v>
      </c>
      <c r="G57">
        <f t="shared" si="6"/>
        <v>69.900000000000006</v>
      </c>
      <c r="J57" t="s">
        <v>58</v>
      </c>
      <c r="K57">
        <v>750</v>
      </c>
    </row>
    <row r="58" spans="1:11" x14ac:dyDescent="0.3">
      <c r="A58" t="s">
        <v>59</v>
      </c>
      <c r="B58">
        <f t="shared" si="4"/>
        <v>70.7</v>
      </c>
      <c r="C58">
        <f t="shared" si="5"/>
        <v>74.5</v>
      </c>
      <c r="F58">
        <v>707</v>
      </c>
      <c r="G58">
        <f t="shared" si="6"/>
        <v>70.7</v>
      </c>
      <c r="J58" t="s">
        <v>59</v>
      </c>
      <c r="K58">
        <v>745</v>
      </c>
    </row>
    <row r="59" spans="1:11" x14ac:dyDescent="0.3">
      <c r="A59" t="s">
        <v>60</v>
      </c>
      <c r="B59">
        <f t="shared" si="4"/>
        <v>71.099999999999994</v>
      </c>
      <c r="C59">
        <f t="shared" si="5"/>
        <v>74.599999999999994</v>
      </c>
      <c r="D59">
        <v>10.7</v>
      </c>
      <c r="E59">
        <f>(6.112*EXP((17.67*C38)/(C38+243.5))*C59*2.1674)/(273.15+C38)</f>
        <v>12.590657193875055</v>
      </c>
      <c r="F59">
        <v>711</v>
      </c>
      <c r="G59">
        <f t="shared" si="6"/>
        <v>71.099999999999994</v>
      </c>
      <c r="H59">
        <v>9.9</v>
      </c>
      <c r="I59">
        <f>(6.112*EXP((17.67*G38)/(G38+243.5))*G59*2.1674)/(273.15+G38)</f>
        <v>11.929632193999558</v>
      </c>
      <c r="J59" t="s">
        <v>60</v>
      </c>
      <c r="K59">
        <v>746</v>
      </c>
    </row>
    <row r="60" spans="1:11" x14ac:dyDescent="0.3">
      <c r="A60" t="s">
        <v>61</v>
      </c>
      <c r="B60">
        <f t="shared" si="4"/>
        <v>71.5</v>
      </c>
      <c r="C60">
        <f t="shared" si="5"/>
        <v>74.2</v>
      </c>
      <c r="F60">
        <v>715</v>
      </c>
      <c r="G60">
        <f t="shared" si="6"/>
        <v>71.5</v>
      </c>
      <c r="J60" t="s">
        <v>61</v>
      </c>
      <c r="K60">
        <v>742</v>
      </c>
    </row>
    <row r="61" spans="1:11" x14ac:dyDescent="0.3">
      <c r="A61" t="s">
        <v>62</v>
      </c>
      <c r="B61">
        <f t="shared" si="4"/>
        <v>70.900000000000006</v>
      </c>
      <c r="C61">
        <f t="shared" si="5"/>
        <v>73.8</v>
      </c>
      <c r="E61" s="3" t="s">
        <v>79</v>
      </c>
      <c r="F61">
        <v>709</v>
      </c>
      <c r="G61">
        <f t="shared" si="6"/>
        <v>70.900000000000006</v>
      </c>
      <c r="J61" t="s">
        <v>62</v>
      </c>
      <c r="K61">
        <v>738</v>
      </c>
    </row>
    <row r="62" spans="1:11" x14ac:dyDescent="0.3">
      <c r="A62" t="s">
        <v>63</v>
      </c>
      <c r="B62">
        <f t="shared" si="4"/>
        <v>70.7</v>
      </c>
      <c r="C62">
        <f t="shared" si="5"/>
        <v>73.900000000000006</v>
      </c>
      <c r="F62">
        <v>707</v>
      </c>
      <c r="G62">
        <f t="shared" si="6"/>
        <v>70.7</v>
      </c>
      <c r="J62" t="s">
        <v>63</v>
      </c>
      <c r="K62">
        <v>739</v>
      </c>
    </row>
    <row r="63" spans="1:11" x14ac:dyDescent="0.3">
      <c r="A63" t="s">
        <v>64</v>
      </c>
      <c r="B63">
        <f t="shared" si="4"/>
        <v>70.8</v>
      </c>
      <c r="C63">
        <f t="shared" si="5"/>
        <v>72.400000000000006</v>
      </c>
      <c r="F63">
        <v>708</v>
      </c>
      <c r="G63">
        <f t="shared" si="6"/>
        <v>70.8</v>
      </c>
      <c r="J63" t="s">
        <v>64</v>
      </c>
      <c r="K63">
        <v>724</v>
      </c>
    </row>
    <row r="64" spans="1:11" x14ac:dyDescent="0.3">
      <c r="A64" t="s">
        <v>65</v>
      </c>
      <c r="B64">
        <f t="shared" si="4"/>
        <v>71</v>
      </c>
      <c r="C64">
        <f t="shared" si="5"/>
        <v>71.900000000000006</v>
      </c>
      <c r="F64">
        <v>710</v>
      </c>
      <c r="G64">
        <f t="shared" si="6"/>
        <v>71</v>
      </c>
      <c r="J64" t="s">
        <v>65</v>
      </c>
      <c r="K64">
        <v>719</v>
      </c>
    </row>
    <row r="65" spans="1:11" x14ac:dyDescent="0.3">
      <c r="A65" t="s">
        <v>66</v>
      </c>
      <c r="B65">
        <f t="shared" si="4"/>
        <v>70.400000000000006</v>
      </c>
      <c r="C65">
        <f t="shared" si="5"/>
        <v>71.3</v>
      </c>
      <c r="F65">
        <v>704</v>
      </c>
      <c r="G65">
        <f t="shared" si="6"/>
        <v>70.400000000000006</v>
      </c>
      <c r="J65" t="s">
        <v>66</v>
      </c>
      <c r="K65">
        <v>713</v>
      </c>
    </row>
    <row r="66" spans="1:11" x14ac:dyDescent="0.3">
      <c r="A66" t="s">
        <v>67</v>
      </c>
      <c r="B66">
        <f t="shared" si="4"/>
        <v>70.7</v>
      </c>
      <c r="C66">
        <f t="shared" si="5"/>
        <v>71.599999999999994</v>
      </c>
      <c r="F66">
        <v>707</v>
      </c>
      <c r="G66">
        <f t="shared" si="6"/>
        <v>70.7</v>
      </c>
      <c r="J66" t="s">
        <v>67</v>
      </c>
      <c r="K66">
        <v>716</v>
      </c>
    </row>
    <row r="67" spans="1:11" x14ac:dyDescent="0.3">
      <c r="J67" t="s">
        <v>73</v>
      </c>
      <c r="K67">
        <v>195</v>
      </c>
    </row>
    <row r="68" spans="1:11" x14ac:dyDescent="0.3">
      <c r="J68" t="s">
        <v>74</v>
      </c>
      <c r="K68">
        <v>1</v>
      </c>
    </row>
    <row r="69" spans="1:11" x14ac:dyDescent="0.3">
      <c r="J69" t="s">
        <v>75</v>
      </c>
      <c r="K69">
        <v>723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LGM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TOCQUEVILLE Eric</dc:creator>
  <cp:lastModifiedBy>DE TOCQUEVILLE Eric</cp:lastModifiedBy>
  <dcterms:created xsi:type="dcterms:W3CDTF">2026-05-07T06:19:49Z</dcterms:created>
  <dcterms:modified xsi:type="dcterms:W3CDTF">2026-05-07T09:38:02Z</dcterms:modified>
</cp:coreProperties>
</file>